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B01A21-B692-4395-8812-4CE3D8604DDE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election_Criteria" sheetId="1" r:id="rId1"/>
    <sheet name="EXP_candidates" sheetId="2" r:id="rId2"/>
    <sheet name="STA_candid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I8" i="3"/>
  <c r="H8" i="3"/>
  <c r="G8" i="3"/>
  <c r="K8" i="3" s="1"/>
  <c r="L8" i="3" s="1"/>
  <c r="J7" i="3"/>
  <c r="I7" i="3"/>
  <c r="H7" i="3"/>
  <c r="K7" i="3" s="1"/>
  <c r="L7" i="3" s="1"/>
  <c r="G7" i="3"/>
  <c r="J6" i="3"/>
  <c r="I6" i="3"/>
  <c r="H6" i="3"/>
  <c r="G6" i="3"/>
  <c r="K6" i="3" s="1"/>
  <c r="L6" i="3" s="1"/>
  <c r="J5" i="3"/>
  <c r="I5" i="3"/>
  <c r="K5" i="3" s="1"/>
  <c r="L5" i="3" s="1"/>
  <c r="H5" i="3"/>
  <c r="G5" i="3"/>
  <c r="J4" i="3"/>
  <c r="I4" i="3"/>
  <c r="H4" i="3"/>
  <c r="G4" i="3"/>
  <c r="K4" i="3" s="1"/>
  <c r="L4" i="3" s="1"/>
  <c r="J3" i="3"/>
  <c r="K3" i="3" s="1"/>
  <c r="L3" i="3" s="1"/>
  <c r="I3" i="3"/>
  <c r="H3" i="3"/>
  <c r="G3" i="3"/>
  <c r="J2" i="3"/>
  <c r="I2" i="3"/>
  <c r="H2" i="3"/>
  <c r="G2" i="3"/>
  <c r="K2" i="3" s="1"/>
  <c r="L2" i="3" s="1"/>
  <c r="J24" i="2"/>
  <c r="I24" i="2"/>
  <c r="H24" i="2"/>
  <c r="G24" i="2"/>
  <c r="K24" i="2" s="1"/>
  <c r="L24" i="2" s="1"/>
  <c r="J23" i="2"/>
  <c r="I23" i="2"/>
  <c r="H23" i="2"/>
  <c r="G23" i="2"/>
  <c r="K23" i="2" s="1"/>
  <c r="L23" i="2" s="1"/>
  <c r="J22" i="2"/>
  <c r="I22" i="2"/>
  <c r="H22" i="2"/>
  <c r="G22" i="2"/>
  <c r="K22" i="2" s="1"/>
  <c r="L22" i="2" s="1"/>
  <c r="J21" i="2"/>
  <c r="I21" i="2"/>
  <c r="H21" i="2"/>
  <c r="G21" i="2"/>
  <c r="K21" i="2" s="1"/>
  <c r="L21" i="2" s="1"/>
  <c r="J20" i="2"/>
  <c r="I20" i="2"/>
  <c r="H20" i="2"/>
  <c r="G20" i="2"/>
  <c r="K20" i="2" s="1"/>
  <c r="L20" i="2" s="1"/>
  <c r="J19" i="2"/>
  <c r="I19" i="2"/>
  <c r="H19" i="2"/>
  <c r="G19" i="2"/>
  <c r="K19" i="2" s="1"/>
  <c r="L19" i="2" s="1"/>
  <c r="J18" i="2"/>
  <c r="I18" i="2"/>
  <c r="H18" i="2"/>
  <c r="G18" i="2"/>
  <c r="K18" i="2" s="1"/>
  <c r="L18" i="2" s="1"/>
  <c r="J17" i="2"/>
  <c r="I17" i="2"/>
  <c r="H17" i="2"/>
  <c r="G17" i="2"/>
  <c r="K17" i="2" s="1"/>
  <c r="L17" i="2" s="1"/>
  <c r="J16" i="2"/>
  <c r="I16" i="2"/>
  <c r="H16" i="2"/>
  <c r="G16" i="2"/>
  <c r="K16" i="2" s="1"/>
  <c r="L16" i="2" s="1"/>
  <c r="J15" i="2"/>
  <c r="I15" i="2"/>
  <c r="H15" i="2"/>
  <c r="G15" i="2"/>
  <c r="K15" i="2" s="1"/>
  <c r="L15" i="2" s="1"/>
  <c r="J14" i="2"/>
  <c r="I14" i="2"/>
  <c r="H14" i="2"/>
  <c r="G14" i="2"/>
  <c r="K14" i="2" s="1"/>
  <c r="L14" i="2" s="1"/>
  <c r="J13" i="2"/>
  <c r="I13" i="2"/>
  <c r="H13" i="2"/>
  <c r="G13" i="2"/>
  <c r="K13" i="2" s="1"/>
  <c r="L13" i="2" s="1"/>
  <c r="J12" i="2"/>
  <c r="I12" i="2"/>
  <c r="H12" i="2"/>
  <c r="G12" i="2"/>
  <c r="K12" i="2" s="1"/>
  <c r="L12" i="2" s="1"/>
  <c r="J11" i="2"/>
  <c r="I11" i="2"/>
  <c r="H11" i="2"/>
  <c r="G11" i="2"/>
  <c r="K11" i="2" s="1"/>
  <c r="L11" i="2" s="1"/>
  <c r="J10" i="2"/>
  <c r="I10" i="2"/>
  <c r="H10" i="2"/>
  <c r="G10" i="2"/>
  <c r="K10" i="2" s="1"/>
  <c r="L10" i="2" s="1"/>
  <c r="J9" i="2"/>
  <c r="I9" i="2"/>
  <c r="H9" i="2"/>
  <c r="G9" i="2"/>
  <c r="K9" i="2" s="1"/>
  <c r="L9" i="2" s="1"/>
  <c r="J8" i="2"/>
  <c r="I8" i="2"/>
  <c r="H8" i="2"/>
  <c r="G8" i="2"/>
  <c r="K8" i="2" s="1"/>
  <c r="L8" i="2" s="1"/>
  <c r="J7" i="2"/>
  <c r="I7" i="2"/>
  <c r="H7" i="2"/>
  <c r="G7" i="2"/>
  <c r="K7" i="2" s="1"/>
  <c r="L7" i="2" s="1"/>
  <c r="J6" i="2"/>
  <c r="I6" i="2"/>
  <c r="H6" i="2"/>
  <c r="G6" i="2"/>
  <c r="K6" i="2" s="1"/>
  <c r="L6" i="2" s="1"/>
  <c r="J5" i="2"/>
  <c r="I5" i="2"/>
  <c r="H5" i="2"/>
  <c r="G5" i="2"/>
  <c r="K5" i="2" s="1"/>
  <c r="L5" i="2" s="1"/>
  <c r="J4" i="2"/>
  <c r="I4" i="2"/>
  <c r="H4" i="2"/>
  <c r="G4" i="2"/>
  <c r="K4" i="2" s="1"/>
  <c r="L4" i="2" s="1"/>
  <c r="J3" i="2"/>
  <c r="I3" i="2"/>
  <c r="H3" i="2"/>
  <c r="G3" i="2"/>
  <c r="K3" i="2" s="1"/>
  <c r="L3" i="2" s="1"/>
  <c r="J2" i="2"/>
  <c r="I2" i="2"/>
  <c r="H2" i="2"/>
  <c r="G2" i="2"/>
  <c r="K2" i="2" s="1"/>
  <c r="L2" i="2" s="1"/>
</calcChain>
</file>

<file path=xl/sharedStrings.xml><?xml version="1.0" encoding="utf-8"?>
<sst xmlns="http://schemas.openxmlformats.org/spreadsheetml/2006/main" count="101" uniqueCount="60">
  <si>
    <t>Criterion</t>
  </si>
  <si>
    <t>Rule</t>
  </si>
  <si>
    <t>Genomic class</t>
  </si>
  <si>
    <t>Intergenic</t>
  </si>
  <si>
    <t>Nominal P value</t>
  </si>
  <si>
    <t>&lt; 0.05</t>
  </si>
  <si>
    <t>Length</t>
  </si>
  <si>
    <t>&lt; 300 nt</t>
  </si>
  <si>
    <t>Effect size</t>
  </si>
  <si>
    <t>|log2FC| &gt; 1</t>
  </si>
  <si>
    <t>AveExpr — EXP</t>
  </si>
  <si>
    <t>&gt; 7</t>
  </si>
  <si>
    <t>AveExpr — STA</t>
  </si>
  <si>
    <t>&gt; 4</t>
  </si>
  <si>
    <t>Selection rule</t>
  </si>
  <si>
    <t>SELECTED only if all phase-specific criteria above are met</t>
  </si>
  <si>
    <t>sRNA ID</t>
  </si>
  <si>
    <t>Length (nt)</t>
  </si>
  <si>
    <t>log2FC</t>
  </si>
  <si>
    <t>AveExpr</t>
  </si>
  <si>
    <t>Direction</t>
  </si>
  <si>
    <t>Length &lt;300</t>
  </si>
  <si>
    <t>|log2FC| &gt;1</t>
  </si>
  <si>
    <t>AveExpr threshold</t>
  </si>
  <si>
    <t>P &lt;0.05</t>
  </si>
  <si>
    <t>Selection tag</t>
  </si>
  <si>
    <t>Exclusion reason</t>
  </si>
  <si>
    <t>exp_sRNA_02038</t>
  </si>
  <si>
    <t>Up</t>
  </si>
  <si>
    <t>exp_sRNA_02140</t>
  </si>
  <si>
    <t>Down</t>
  </si>
  <si>
    <t>exp_sRNA_01365</t>
  </si>
  <si>
    <t>exp_sRNA_03858</t>
  </si>
  <si>
    <t>exp_sRNA_02037</t>
  </si>
  <si>
    <t>exp_sRNA_04950</t>
  </si>
  <si>
    <t>exp_sRNA_05068</t>
  </si>
  <si>
    <t>exp_sRNA_08569</t>
  </si>
  <si>
    <t>exp_sRNA_03840</t>
  </si>
  <si>
    <t>exp_sRNA_02057</t>
  </si>
  <si>
    <t>exp_sRNA_07036</t>
  </si>
  <si>
    <t>exp_sRNA_08297</t>
  </si>
  <si>
    <t>exp_sRNA_03587</t>
  </si>
  <si>
    <t>exp_sRNA_05519</t>
  </si>
  <si>
    <t>exp_sRNA_07837</t>
  </si>
  <si>
    <t>exp_sRNA_02718</t>
  </si>
  <si>
    <t>exp_sRNA_03878</t>
  </si>
  <si>
    <t>exp_sRNA_02040</t>
  </si>
  <si>
    <t>exp_sRNA_03702</t>
  </si>
  <si>
    <t>exp_sRNA_03238</t>
  </si>
  <si>
    <t>exp_sRNA_05517</t>
  </si>
  <si>
    <t>exp_sRNA_02059</t>
  </si>
  <si>
    <t>exp_sRNA_05518</t>
  </si>
  <si>
    <t>sta_sRNA_00457</t>
  </si>
  <si>
    <t>sta_sRNA_00503</t>
  </si>
  <si>
    <t>sta_sRNA_00141</t>
  </si>
  <si>
    <t>sta_sRNA_00891</t>
  </si>
  <si>
    <t>sta_sRNA_00559</t>
  </si>
  <si>
    <t>sta_sRNA_00609</t>
  </si>
  <si>
    <t>sta_sRNA_00520</t>
  </si>
  <si>
    <t>sRNA prioritization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</si>
</sst>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SelectionTable" displayName="EXPSelectionTable" ref="A1:L24" totalsRowShown="0">
  <tableColumns count="12">
    <tableColumn id="1" xr3:uid="{00000000-0010-0000-0000-000001000000}" name="sRNA ID"/>
    <tableColumn id="2" xr3:uid="{00000000-0010-0000-0000-000002000000}" name="Length (nt)"/>
    <tableColumn id="3" xr3:uid="{00000000-0010-0000-0000-000003000000}" name="log2FC"/>
    <tableColumn id="4" xr3:uid="{00000000-0010-0000-0000-000004000000}" name="AveExpr"/>
    <tableColumn id="5" xr3:uid="{00000000-0010-0000-0000-000005000000}" name="Nominal P value"/>
    <tableColumn id="6" xr3:uid="{00000000-0010-0000-0000-000006000000}" name="Direction"/>
    <tableColumn id="7" xr3:uid="{00000000-0010-0000-0000-000007000000}" name="Length &lt;300"/>
    <tableColumn id="8" xr3:uid="{00000000-0010-0000-0000-000008000000}" name="|log2FC| &gt;1"/>
    <tableColumn id="9" xr3:uid="{00000000-0010-0000-0000-000009000000}" name="AveExpr threshold"/>
    <tableColumn id="10" xr3:uid="{00000000-0010-0000-0000-00000A000000}" name="P &lt;0.05"/>
    <tableColumn id="11" xr3:uid="{00000000-0010-0000-0000-00000B000000}" name="Selection tag"/>
    <tableColumn id="12" xr3:uid="{00000000-0010-0000-0000-00000C000000}" name="Exclusio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SelectionTable" displayName="STASelectionTable" ref="A1:L8" totalsRowShown="0">
  <tableColumns count="12">
    <tableColumn id="1" xr3:uid="{00000000-0010-0000-0100-000001000000}" name="sRNA ID"/>
    <tableColumn id="2" xr3:uid="{00000000-0010-0000-0100-000002000000}" name="Length (nt)"/>
    <tableColumn id="3" xr3:uid="{00000000-0010-0000-0100-000003000000}" name="log2FC"/>
    <tableColumn id="4" xr3:uid="{00000000-0010-0000-0100-000004000000}" name="AveExpr"/>
    <tableColumn id="5" xr3:uid="{00000000-0010-0000-0100-000005000000}" name="Nominal P value"/>
    <tableColumn id="6" xr3:uid="{00000000-0010-0000-0100-000006000000}" name="Direction"/>
    <tableColumn id="7" xr3:uid="{00000000-0010-0000-0100-000007000000}" name="Length &lt;300"/>
    <tableColumn id="8" xr3:uid="{00000000-0010-0000-0100-000008000000}" name="|log2FC| &gt;1"/>
    <tableColumn id="9" xr3:uid="{00000000-0010-0000-0100-000009000000}" name="AveExpr threshold"/>
    <tableColumn id="10" xr3:uid="{00000000-0010-0000-0100-00000A000000}" name="P &lt;0.05"/>
    <tableColumn id="11" xr3:uid="{00000000-0010-0000-0100-00000B000000}" name="Selection tag"/>
    <tableColumn id="12" xr3:uid="{00000000-0010-0000-0100-00000C000000}" name="Exclusio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25"/>
  <cols>
    <col min="1" max="1" width="24" customWidth="1"/>
    <col min="2" max="2" width="72" customWidth="1"/>
  </cols>
  <sheetData>
    <row r="1" spans="1:2" ht="18">
      <c r="A1" s="6" t="s">
        <v>59</v>
      </c>
      <c r="B1" s="6"/>
    </row>
    <row r="2" spans="1:2" ht="15">
      <c r="A2" s="5" t="s">
        <v>0</v>
      </c>
      <c r="B2" s="5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/>
      <c r="B10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/>
  </sheetViews>
  <sheetFormatPr defaultRowHeight="14.25"/>
  <cols>
    <col min="1" max="1" width="22" customWidth="1"/>
    <col min="2" max="4" width="12" customWidth="1"/>
    <col min="5" max="5" width="16" customWidth="1"/>
    <col min="6" max="6" width="11" customWidth="1"/>
    <col min="7" max="8" width="14" customWidth="1"/>
    <col min="9" max="9" width="18" customWidth="1"/>
    <col min="10" max="10" width="12" customWidth="1"/>
    <col min="11" max="11" width="14" customWidth="1"/>
    <col min="12" max="12" width="30" customWidth="1"/>
  </cols>
  <sheetData>
    <row r="1" spans="1:12" ht="15">
      <c r="A1" s="4" t="s">
        <v>16</v>
      </c>
      <c r="B1" s="4" t="s">
        <v>17</v>
      </c>
      <c r="C1" s="4" t="s">
        <v>18</v>
      </c>
      <c r="D1" s="4" t="s">
        <v>19</v>
      </c>
      <c r="E1" s="4" t="s">
        <v>4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>
      <c r="A2" s="1" t="s">
        <v>27</v>
      </c>
      <c r="B2" s="1">
        <v>432</v>
      </c>
      <c r="C2" s="2">
        <v>1.2128213006242701</v>
      </c>
      <c r="D2" s="2">
        <v>11.703691101033201</v>
      </c>
      <c r="E2" s="3">
        <v>5.8524950500416497E-3</v>
      </c>
      <c r="F2" s="1" t="s">
        <v>28</v>
      </c>
      <c r="G2" s="1" t="str">
        <f t="shared" ref="G2:G24" si="0">IF(B2&lt;300,"PASS","FAIL")</f>
        <v>FAIL</v>
      </c>
      <c r="H2" s="1" t="str">
        <f t="shared" ref="H2:H24" si="1">IF(ABS(C2)&gt;1,"PASS","FAIL")</f>
        <v>PASS</v>
      </c>
      <c r="I2" s="1" t="str">
        <f t="shared" ref="I2:I24" si="2">IF(D2&gt;7,"PASS","FAIL")</f>
        <v>PASS</v>
      </c>
      <c r="J2" s="1" t="str">
        <f t="shared" ref="J2:J24" si="3">IF(E2&lt;0.05,"PASS","FAIL")</f>
        <v>PASS</v>
      </c>
      <c r="K2" s="1" t="str">
        <f t="shared" ref="K2:K24" si="4">IF(AND(G2="PASS",H2="PASS",I2="PASS",J2="PASS"),"SELECTED","EXCLUDED")</f>
        <v>EXCLUDED</v>
      </c>
      <c r="L2" s="1" t="str">
        <f t="shared" ref="L2:L24" si="5">IF(K2="SELECTED","Meets all criteria",IF(G2="FAIL","Length ≥300 nt","")&amp;IF(AND(G2="FAIL",H2="FAIL"),"; ","")&amp;IF(H2="FAIL","|log2FC| ≤1","")&amp;IF(AND(OR(G2="FAIL",H2="FAIL"),I2="FAIL"),"; ","")&amp;IF(I2="FAIL","AveExpr ≤7","")&amp;IF(AND(OR(G2="FAIL",H2="FAIL",I2="FAIL"),J2="FAIL"),"; ","")&amp;IF(J2="FAIL","P ≥0.05",""))</f>
        <v>Length ≥300 nt</v>
      </c>
    </row>
    <row r="3" spans="1:12" ht="15">
      <c r="A3" s="1" t="s">
        <v>29</v>
      </c>
      <c r="B3" s="1">
        <v>97</v>
      </c>
      <c r="C3" s="2">
        <v>-2.46610322380868</v>
      </c>
      <c r="D3" s="2">
        <v>7.7475672549990602</v>
      </c>
      <c r="E3" s="3">
        <v>8.6321789019782793E-3</v>
      </c>
      <c r="F3" s="1" t="s">
        <v>30</v>
      </c>
      <c r="G3" s="1" t="str">
        <f t="shared" si="0"/>
        <v>PASS</v>
      </c>
      <c r="H3" s="1" t="str">
        <f t="shared" si="1"/>
        <v>PASS</v>
      </c>
      <c r="I3" s="1" t="str">
        <f t="shared" si="2"/>
        <v>PASS</v>
      </c>
      <c r="J3" s="1" t="str">
        <f t="shared" si="3"/>
        <v>PASS</v>
      </c>
      <c r="K3" s="1" t="str">
        <f t="shared" si="4"/>
        <v>SELECTED</v>
      </c>
      <c r="L3" s="1" t="str">
        <f t="shared" si="5"/>
        <v>Meets all criteria</v>
      </c>
    </row>
    <row r="4" spans="1:12">
      <c r="A4" s="1" t="s">
        <v>31</v>
      </c>
      <c r="B4" s="1">
        <v>65</v>
      </c>
      <c r="C4" s="2">
        <v>0.98537517195920199</v>
      </c>
      <c r="D4" s="2">
        <v>9.8108486837420603</v>
      </c>
      <c r="E4" s="3">
        <v>1.02954164631626E-2</v>
      </c>
      <c r="F4" s="1" t="s">
        <v>28</v>
      </c>
      <c r="G4" s="1" t="str">
        <f t="shared" si="0"/>
        <v>PASS</v>
      </c>
      <c r="H4" s="1" t="str">
        <f t="shared" si="1"/>
        <v>FAIL</v>
      </c>
      <c r="I4" s="1" t="str">
        <f t="shared" si="2"/>
        <v>PASS</v>
      </c>
      <c r="J4" s="1" t="str">
        <f t="shared" si="3"/>
        <v>PASS</v>
      </c>
      <c r="K4" s="1" t="str">
        <f t="shared" si="4"/>
        <v>EXCLUDED</v>
      </c>
      <c r="L4" s="1" t="str">
        <f t="shared" si="5"/>
        <v>|log2FC| ≤1</v>
      </c>
    </row>
    <row r="5" spans="1:12" ht="15">
      <c r="A5" s="1" t="s">
        <v>32</v>
      </c>
      <c r="B5" s="1">
        <v>97</v>
      </c>
      <c r="C5" s="2">
        <v>1.09137491663857</v>
      </c>
      <c r="D5" s="2">
        <v>7.0984646674159997</v>
      </c>
      <c r="E5" s="3">
        <v>1.3592325661794601E-2</v>
      </c>
      <c r="F5" s="1" t="s">
        <v>28</v>
      </c>
      <c r="G5" s="1" t="str">
        <f t="shared" si="0"/>
        <v>PASS</v>
      </c>
      <c r="H5" s="1" t="str">
        <f t="shared" si="1"/>
        <v>PASS</v>
      </c>
      <c r="I5" s="1" t="str">
        <f t="shared" si="2"/>
        <v>PASS</v>
      </c>
      <c r="J5" s="1" t="str">
        <f t="shared" si="3"/>
        <v>PASS</v>
      </c>
      <c r="K5" s="1" t="str">
        <f t="shared" si="4"/>
        <v>SELECTED</v>
      </c>
      <c r="L5" s="1" t="str">
        <f t="shared" si="5"/>
        <v>Meets all criteria</v>
      </c>
    </row>
    <row r="6" spans="1:12" ht="15">
      <c r="A6" s="1" t="s">
        <v>33</v>
      </c>
      <c r="B6" s="1">
        <v>240</v>
      </c>
      <c r="C6" s="2">
        <v>1.32462215564358</v>
      </c>
      <c r="D6" s="2">
        <v>12.187223890892399</v>
      </c>
      <c r="E6" s="3">
        <v>1.4936088167641E-2</v>
      </c>
      <c r="F6" s="1" t="s">
        <v>28</v>
      </c>
      <c r="G6" s="1" t="str">
        <f t="shared" si="0"/>
        <v>PASS</v>
      </c>
      <c r="H6" s="1" t="str">
        <f t="shared" si="1"/>
        <v>PASS</v>
      </c>
      <c r="I6" s="1" t="str">
        <f t="shared" si="2"/>
        <v>PASS</v>
      </c>
      <c r="J6" s="1" t="str">
        <f t="shared" si="3"/>
        <v>PASS</v>
      </c>
      <c r="K6" s="1" t="str">
        <f t="shared" si="4"/>
        <v>SELECTED</v>
      </c>
      <c r="L6" s="1" t="str">
        <f t="shared" si="5"/>
        <v>Meets all criteria</v>
      </c>
    </row>
    <row r="7" spans="1:12">
      <c r="A7" s="1" t="s">
        <v>34</v>
      </c>
      <c r="B7" s="1">
        <v>453</v>
      </c>
      <c r="C7" s="2">
        <v>-0.51682475946617901</v>
      </c>
      <c r="D7" s="2">
        <v>18.916653010771199</v>
      </c>
      <c r="E7" s="3">
        <v>1.62432739847337E-2</v>
      </c>
      <c r="F7" s="1" t="s">
        <v>30</v>
      </c>
      <c r="G7" s="1" t="str">
        <f t="shared" si="0"/>
        <v>FAIL</v>
      </c>
      <c r="H7" s="1" t="str">
        <f t="shared" si="1"/>
        <v>FAIL</v>
      </c>
      <c r="I7" s="1" t="str">
        <f t="shared" si="2"/>
        <v>PASS</v>
      </c>
      <c r="J7" s="1" t="str">
        <f t="shared" si="3"/>
        <v>PASS</v>
      </c>
      <c r="K7" s="1" t="str">
        <f t="shared" si="4"/>
        <v>EXCLUDED</v>
      </c>
      <c r="L7" s="1" t="str">
        <f t="shared" si="5"/>
        <v>Length ≥300 nt; |log2FC| ≤1</v>
      </c>
    </row>
    <row r="8" spans="1:12">
      <c r="A8" s="1" t="s">
        <v>35</v>
      </c>
      <c r="B8" s="1">
        <v>53</v>
      </c>
      <c r="C8" s="2">
        <v>-0.78036203675149296</v>
      </c>
      <c r="D8" s="2">
        <v>9.6495832539673305</v>
      </c>
      <c r="E8" s="3">
        <v>2.16133109166473E-2</v>
      </c>
      <c r="F8" s="1" t="s">
        <v>30</v>
      </c>
      <c r="G8" s="1" t="str">
        <f t="shared" si="0"/>
        <v>PASS</v>
      </c>
      <c r="H8" s="1" t="str">
        <f t="shared" si="1"/>
        <v>FAIL</v>
      </c>
      <c r="I8" s="1" t="str">
        <f t="shared" si="2"/>
        <v>PASS</v>
      </c>
      <c r="J8" s="1" t="str">
        <f t="shared" si="3"/>
        <v>PASS</v>
      </c>
      <c r="K8" s="1" t="str">
        <f t="shared" si="4"/>
        <v>EXCLUDED</v>
      </c>
      <c r="L8" s="1" t="str">
        <f t="shared" si="5"/>
        <v>|log2FC| ≤1</v>
      </c>
    </row>
    <row r="9" spans="1:12">
      <c r="A9" s="1" t="s">
        <v>36</v>
      </c>
      <c r="B9" s="1">
        <v>61</v>
      </c>
      <c r="C9" s="2">
        <v>0.95730032554581102</v>
      </c>
      <c r="D9" s="2">
        <v>8.3585752268806193</v>
      </c>
      <c r="E9" s="3">
        <v>2.22625893952632E-2</v>
      </c>
      <c r="F9" s="1" t="s">
        <v>28</v>
      </c>
      <c r="G9" s="1" t="str">
        <f t="shared" si="0"/>
        <v>PASS</v>
      </c>
      <c r="H9" s="1" t="str">
        <f t="shared" si="1"/>
        <v>FAIL</v>
      </c>
      <c r="I9" s="1" t="str">
        <f t="shared" si="2"/>
        <v>PASS</v>
      </c>
      <c r="J9" s="1" t="str">
        <f t="shared" si="3"/>
        <v>PASS</v>
      </c>
      <c r="K9" s="1" t="str">
        <f t="shared" si="4"/>
        <v>EXCLUDED</v>
      </c>
      <c r="L9" s="1" t="str">
        <f t="shared" si="5"/>
        <v>|log2FC| ≤1</v>
      </c>
    </row>
    <row r="10" spans="1:12">
      <c r="A10" s="1" t="s">
        <v>37</v>
      </c>
      <c r="B10" s="1">
        <v>84</v>
      </c>
      <c r="C10" s="2">
        <v>-1.1062076138718999</v>
      </c>
      <c r="D10" s="2">
        <v>6.63122483016683</v>
      </c>
      <c r="E10" s="3">
        <v>2.2442500873056801E-2</v>
      </c>
      <c r="F10" s="1" t="s">
        <v>30</v>
      </c>
      <c r="G10" s="1" t="str">
        <f t="shared" si="0"/>
        <v>PASS</v>
      </c>
      <c r="H10" s="1" t="str">
        <f t="shared" si="1"/>
        <v>PASS</v>
      </c>
      <c r="I10" s="1" t="str">
        <f t="shared" si="2"/>
        <v>FAIL</v>
      </c>
      <c r="J10" s="1" t="str">
        <f t="shared" si="3"/>
        <v>PASS</v>
      </c>
      <c r="K10" s="1" t="str">
        <f t="shared" si="4"/>
        <v>EXCLUDED</v>
      </c>
      <c r="L10" s="1" t="str">
        <f t="shared" si="5"/>
        <v>AveExpr ≤7</v>
      </c>
    </row>
    <row r="11" spans="1:12">
      <c r="A11" s="1" t="s">
        <v>38</v>
      </c>
      <c r="B11" s="1">
        <v>213</v>
      </c>
      <c r="C11" s="2">
        <v>0.94414401900214595</v>
      </c>
      <c r="D11" s="2">
        <v>11.0045281419363</v>
      </c>
      <c r="E11" s="3">
        <v>2.3594434040597599E-2</v>
      </c>
      <c r="F11" s="1" t="s">
        <v>28</v>
      </c>
      <c r="G11" s="1" t="str">
        <f t="shared" si="0"/>
        <v>PASS</v>
      </c>
      <c r="H11" s="1" t="str">
        <f t="shared" si="1"/>
        <v>FAIL</v>
      </c>
      <c r="I11" s="1" t="str">
        <f t="shared" si="2"/>
        <v>PASS</v>
      </c>
      <c r="J11" s="1" t="str">
        <f t="shared" si="3"/>
        <v>PASS</v>
      </c>
      <c r="K11" s="1" t="str">
        <f t="shared" si="4"/>
        <v>EXCLUDED</v>
      </c>
      <c r="L11" s="1" t="str">
        <f t="shared" si="5"/>
        <v>|log2FC| ≤1</v>
      </c>
    </row>
    <row r="12" spans="1:12">
      <c r="A12" s="1" t="s">
        <v>39</v>
      </c>
      <c r="B12" s="1">
        <v>57</v>
      </c>
      <c r="C12" s="2">
        <v>-0.89181374935922697</v>
      </c>
      <c r="D12" s="2">
        <v>9.3504328650133797</v>
      </c>
      <c r="E12" s="3">
        <v>2.5431972309796599E-2</v>
      </c>
      <c r="F12" s="1" t="s">
        <v>30</v>
      </c>
      <c r="G12" s="1" t="str">
        <f t="shared" si="0"/>
        <v>PASS</v>
      </c>
      <c r="H12" s="1" t="str">
        <f t="shared" si="1"/>
        <v>FAIL</v>
      </c>
      <c r="I12" s="1" t="str">
        <f t="shared" si="2"/>
        <v>PASS</v>
      </c>
      <c r="J12" s="1" t="str">
        <f t="shared" si="3"/>
        <v>PASS</v>
      </c>
      <c r="K12" s="1" t="str">
        <f t="shared" si="4"/>
        <v>EXCLUDED</v>
      </c>
      <c r="L12" s="1" t="str">
        <f t="shared" si="5"/>
        <v>|log2FC| ≤1</v>
      </c>
    </row>
    <row r="13" spans="1:12" ht="15">
      <c r="A13" s="1" t="s">
        <v>40</v>
      </c>
      <c r="B13" s="1">
        <v>59</v>
      </c>
      <c r="C13" s="2">
        <v>1.0344683648849</v>
      </c>
      <c r="D13" s="2">
        <v>10.405460878688899</v>
      </c>
      <c r="E13" s="3">
        <v>2.7316325551297101E-2</v>
      </c>
      <c r="F13" s="1" t="s">
        <v>28</v>
      </c>
      <c r="G13" s="1" t="str">
        <f t="shared" si="0"/>
        <v>PASS</v>
      </c>
      <c r="H13" s="1" t="str">
        <f t="shared" si="1"/>
        <v>PASS</v>
      </c>
      <c r="I13" s="1" t="str">
        <f t="shared" si="2"/>
        <v>PASS</v>
      </c>
      <c r="J13" s="1" t="str">
        <f t="shared" si="3"/>
        <v>PASS</v>
      </c>
      <c r="K13" s="1" t="str">
        <f t="shared" si="4"/>
        <v>SELECTED</v>
      </c>
      <c r="L13" s="1" t="str">
        <f t="shared" si="5"/>
        <v>Meets all criteria</v>
      </c>
    </row>
    <row r="14" spans="1:12">
      <c r="A14" s="1" t="s">
        <v>41</v>
      </c>
      <c r="B14" s="1">
        <v>133</v>
      </c>
      <c r="C14" s="2">
        <v>-0.65872912002856698</v>
      </c>
      <c r="D14" s="2">
        <v>11.5004171208311</v>
      </c>
      <c r="E14" s="3">
        <v>2.80475431019238E-2</v>
      </c>
      <c r="F14" s="1" t="s">
        <v>30</v>
      </c>
      <c r="G14" s="1" t="str">
        <f t="shared" si="0"/>
        <v>PASS</v>
      </c>
      <c r="H14" s="1" t="str">
        <f t="shared" si="1"/>
        <v>FAIL</v>
      </c>
      <c r="I14" s="1" t="str">
        <f t="shared" si="2"/>
        <v>PASS</v>
      </c>
      <c r="J14" s="1" t="str">
        <f t="shared" si="3"/>
        <v>PASS</v>
      </c>
      <c r="K14" s="1" t="str">
        <f t="shared" si="4"/>
        <v>EXCLUDED</v>
      </c>
      <c r="L14" s="1" t="str">
        <f t="shared" si="5"/>
        <v>|log2FC| ≤1</v>
      </c>
    </row>
    <row r="15" spans="1:12">
      <c r="A15" s="1" t="s">
        <v>42</v>
      </c>
      <c r="B15" s="1">
        <v>360</v>
      </c>
      <c r="C15" s="2">
        <v>1.0933293529333801</v>
      </c>
      <c r="D15" s="2">
        <v>12.720124130110699</v>
      </c>
      <c r="E15" s="3">
        <v>3.0086250653996401E-2</v>
      </c>
      <c r="F15" s="1" t="s">
        <v>28</v>
      </c>
      <c r="G15" s="1" t="str">
        <f t="shared" si="0"/>
        <v>FAIL</v>
      </c>
      <c r="H15" s="1" t="str">
        <f t="shared" si="1"/>
        <v>PASS</v>
      </c>
      <c r="I15" s="1" t="str">
        <f t="shared" si="2"/>
        <v>PASS</v>
      </c>
      <c r="J15" s="1" t="str">
        <f t="shared" si="3"/>
        <v>PASS</v>
      </c>
      <c r="K15" s="1" t="str">
        <f t="shared" si="4"/>
        <v>EXCLUDED</v>
      </c>
      <c r="L15" s="1" t="str">
        <f t="shared" si="5"/>
        <v>Length ≥300 nt</v>
      </c>
    </row>
    <row r="16" spans="1:12">
      <c r="A16" s="1" t="s">
        <v>43</v>
      </c>
      <c r="B16" s="1">
        <v>59</v>
      </c>
      <c r="C16" s="2">
        <v>0.93061931992200497</v>
      </c>
      <c r="D16" s="2">
        <v>9.7293568327330995</v>
      </c>
      <c r="E16" s="3">
        <v>3.3403075106720498E-2</v>
      </c>
      <c r="F16" s="1" t="s">
        <v>28</v>
      </c>
      <c r="G16" s="1" t="str">
        <f t="shared" si="0"/>
        <v>PASS</v>
      </c>
      <c r="H16" s="1" t="str">
        <f t="shared" si="1"/>
        <v>FAIL</v>
      </c>
      <c r="I16" s="1" t="str">
        <f t="shared" si="2"/>
        <v>PASS</v>
      </c>
      <c r="J16" s="1" t="str">
        <f t="shared" si="3"/>
        <v>PASS</v>
      </c>
      <c r="K16" s="1" t="str">
        <f t="shared" si="4"/>
        <v>EXCLUDED</v>
      </c>
      <c r="L16" s="1" t="str">
        <f t="shared" si="5"/>
        <v>|log2FC| ≤1</v>
      </c>
    </row>
    <row r="17" spans="1:12" ht="15">
      <c r="A17" s="1" t="s">
        <v>44</v>
      </c>
      <c r="B17" s="1">
        <v>70</v>
      </c>
      <c r="C17" s="2">
        <v>-1.7039197115728499</v>
      </c>
      <c r="D17" s="2">
        <v>11.511210136634</v>
      </c>
      <c r="E17" s="3">
        <v>3.6987278170065599E-2</v>
      </c>
      <c r="F17" s="1" t="s">
        <v>30</v>
      </c>
      <c r="G17" s="1" t="str">
        <f t="shared" si="0"/>
        <v>PASS</v>
      </c>
      <c r="H17" s="1" t="str">
        <f t="shared" si="1"/>
        <v>PASS</v>
      </c>
      <c r="I17" s="1" t="str">
        <f t="shared" si="2"/>
        <v>PASS</v>
      </c>
      <c r="J17" s="1" t="str">
        <f t="shared" si="3"/>
        <v>PASS</v>
      </c>
      <c r="K17" s="1" t="str">
        <f t="shared" si="4"/>
        <v>SELECTED</v>
      </c>
      <c r="L17" s="1" t="str">
        <f t="shared" si="5"/>
        <v>Meets all criteria</v>
      </c>
    </row>
    <row r="18" spans="1:12" ht="15">
      <c r="A18" s="1" t="s">
        <v>45</v>
      </c>
      <c r="B18" s="1">
        <v>128</v>
      </c>
      <c r="C18" s="2">
        <v>-1.35852119972078</v>
      </c>
      <c r="D18" s="2">
        <v>9.0094706697826794</v>
      </c>
      <c r="E18" s="3">
        <v>3.70751805656752E-2</v>
      </c>
      <c r="F18" s="1" t="s">
        <v>30</v>
      </c>
      <c r="G18" s="1" t="str">
        <f t="shared" si="0"/>
        <v>PASS</v>
      </c>
      <c r="H18" s="1" t="str">
        <f t="shared" si="1"/>
        <v>PASS</v>
      </c>
      <c r="I18" s="1" t="str">
        <f t="shared" si="2"/>
        <v>PASS</v>
      </c>
      <c r="J18" s="1" t="str">
        <f t="shared" si="3"/>
        <v>PASS</v>
      </c>
      <c r="K18" s="1" t="str">
        <f t="shared" si="4"/>
        <v>SELECTED</v>
      </c>
      <c r="L18" s="1" t="str">
        <f t="shared" si="5"/>
        <v>Meets all criteria</v>
      </c>
    </row>
    <row r="19" spans="1:12">
      <c r="A19" s="1" t="s">
        <v>46</v>
      </c>
      <c r="B19" s="1">
        <v>88</v>
      </c>
      <c r="C19" s="2">
        <v>1.5603825651824199</v>
      </c>
      <c r="D19" s="2">
        <v>6.72969704157991</v>
      </c>
      <c r="E19" s="3">
        <v>3.9255695642416301E-2</v>
      </c>
      <c r="F19" s="1" t="s">
        <v>28</v>
      </c>
      <c r="G19" s="1" t="str">
        <f t="shared" si="0"/>
        <v>PASS</v>
      </c>
      <c r="H19" s="1" t="str">
        <f t="shared" si="1"/>
        <v>PASS</v>
      </c>
      <c r="I19" s="1" t="str">
        <f t="shared" si="2"/>
        <v>FAIL</v>
      </c>
      <c r="J19" s="1" t="str">
        <f t="shared" si="3"/>
        <v>PASS</v>
      </c>
      <c r="K19" s="1" t="str">
        <f t="shared" si="4"/>
        <v>EXCLUDED</v>
      </c>
      <c r="L19" s="1" t="str">
        <f t="shared" si="5"/>
        <v>AveExpr ≤7</v>
      </c>
    </row>
    <row r="20" spans="1:12">
      <c r="A20" s="1" t="s">
        <v>47</v>
      </c>
      <c r="B20" s="1">
        <v>62</v>
      </c>
      <c r="C20" s="2">
        <v>-0.76774835983781298</v>
      </c>
      <c r="D20" s="2">
        <v>11.210331557236501</v>
      </c>
      <c r="E20" s="3">
        <v>4.08226569519788E-2</v>
      </c>
      <c r="F20" s="1" t="s">
        <v>30</v>
      </c>
      <c r="G20" s="1" t="str">
        <f t="shared" si="0"/>
        <v>PASS</v>
      </c>
      <c r="H20" s="1" t="str">
        <f t="shared" si="1"/>
        <v>FAIL</v>
      </c>
      <c r="I20" s="1" t="str">
        <f t="shared" si="2"/>
        <v>PASS</v>
      </c>
      <c r="J20" s="1" t="str">
        <f t="shared" si="3"/>
        <v>PASS</v>
      </c>
      <c r="K20" s="1" t="str">
        <f t="shared" si="4"/>
        <v>EXCLUDED</v>
      </c>
      <c r="L20" s="1" t="str">
        <f t="shared" si="5"/>
        <v>|log2FC| ≤1</v>
      </c>
    </row>
    <row r="21" spans="1:12">
      <c r="A21" s="1" t="s">
        <v>48</v>
      </c>
      <c r="B21" s="1">
        <v>51</v>
      </c>
      <c r="C21" s="2">
        <v>0.80157907189313304</v>
      </c>
      <c r="D21" s="2">
        <v>9.6043900023329805</v>
      </c>
      <c r="E21" s="3">
        <v>4.2122011521505097E-2</v>
      </c>
      <c r="F21" s="1" t="s">
        <v>28</v>
      </c>
      <c r="G21" s="1" t="str">
        <f t="shared" si="0"/>
        <v>PASS</v>
      </c>
      <c r="H21" s="1" t="str">
        <f t="shared" si="1"/>
        <v>FAIL</v>
      </c>
      <c r="I21" s="1" t="str">
        <f t="shared" si="2"/>
        <v>PASS</v>
      </c>
      <c r="J21" s="1" t="str">
        <f t="shared" si="3"/>
        <v>PASS</v>
      </c>
      <c r="K21" s="1" t="str">
        <f t="shared" si="4"/>
        <v>EXCLUDED</v>
      </c>
      <c r="L21" s="1" t="str">
        <f t="shared" si="5"/>
        <v>|log2FC| ≤1</v>
      </c>
    </row>
    <row r="22" spans="1:12" ht="15">
      <c r="A22" s="1" t="s">
        <v>49</v>
      </c>
      <c r="B22" s="1">
        <v>94</v>
      </c>
      <c r="C22" s="2">
        <v>1.2809963247381999</v>
      </c>
      <c r="D22" s="2">
        <v>9.2043952900366701</v>
      </c>
      <c r="E22" s="3">
        <v>4.2161797028037198E-2</v>
      </c>
      <c r="F22" s="1" t="s">
        <v>28</v>
      </c>
      <c r="G22" s="1" t="str">
        <f t="shared" si="0"/>
        <v>PASS</v>
      </c>
      <c r="H22" s="1" t="str">
        <f t="shared" si="1"/>
        <v>PASS</v>
      </c>
      <c r="I22" s="1" t="str">
        <f t="shared" si="2"/>
        <v>PASS</v>
      </c>
      <c r="J22" s="1" t="str">
        <f t="shared" si="3"/>
        <v>PASS</v>
      </c>
      <c r="K22" s="1" t="str">
        <f t="shared" si="4"/>
        <v>SELECTED</v>
      </c>
      <c r="L22" s="1" t="str">
        <f t="shared" si="5"/>
        <v>Meets all criteria</v>
      </c>
    </row>
    <row r="23" spans="1:12">
      <c r="A23" s="1" t="s">
        <v>50</v>
      </c>
      <c r="B23" s="1">
        <v>123</v>
      </c>
      <c r="C23" s="2">
        <v>0.58643319049786702</v>
      </c>
      <c r="D23" s="2">
        <v>10.627233824387099</v>
      </c>
      <c r="E23" s="3">
        <v>4.32661240442858E-2</v>
      </c>
      <c r="F23" s="1" t="s">
        <v>28</v>
      </c>
      <c r="G23" s="1" t="str">
        <f t="shared" si="0"/>
        <v>PASS</v>
      </c>
      <c r="H23" s="1" t="str">
        <f t="shared" si="1"/>
        <v>FAIL</v>
      </c>
      <c r="I23" s="1" t="str">
        <f t="shared" si="2"/>
        <v>PASS</v>
      </c>
      <c r="J23" s="1" t="str">
        <f t="shared" si="3"/>
        <v>PASS</v>
      </c>
      <c r="K23" s="1" t="str">
        <f t="shared" si="4"/>
        <v>EXCLUDED</v>
      </c>
      <c r="L23" s="1" t="str">
        <f t="shared" si="5"/>
        <v>|log2FC| ≤1</v>
      </c>
    </row>
    <row r="24" spans="1:12" ht="15">
      <c r="A24" s="1" t="s">
        <v>51</v>
      </c>
      <c r="B24" s="1">
        <v>102</v>
      </c>
      <c r="C24" s="2">
        <v>1.75847159270843</v>
      </c>
      <c r="D24" s="2">
        <v>7.7988549440138497</v>
      </c>
      <c r="E24" s="3">
        <v>4.9376338115979003E-2</v>
      </c>
      <c r="F24" s="1" t="s">
        <v>28</v>
      </c>
      <c r="G24" s="1" t="str">
        <f t="shared" si="0"/>
        <v>PASS</v>
      </c>
      <c r="H24" s="1" t="str">
        <f t="shared" si="1"/>
        <v>PASS</v>
      </c>
      <c r="I24" s="1" t="str">
        <f t="shared" si="2"/>
        <v>PASS</v>
      </c>
      <c r="J24" s="1" t="str">
        <f t="shared" si="3"/>
        <v>PASS</v>
      </c>
      <c r="K24" s="1" t="str">
        <f t="shared" si="4"/>
        <v>SELECTED</v>
      </c>
      <c r="L24" s="1" t="str">
        <f t="shared" si="5"/>
        <v>Meets all criteria</v>
      </c>
    </row>
  </sheetData>
  <conditionalFormatting sqref="K2:K24">
    <cfRule type="expression" dxfId="3" priority="1">
      <formula>K2="SELECTED"</formula>
    </cfRule>
    <cfRule type="expression" dxfId="2" priority="2">
      <formula>K2="EXCLUDED"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defaultRowHeight="14.25"/>
  <cols>
    <col min="1" max="1" width="22" customWidth="1"/>
    <col min="2" max="4" width="12" customWidth="1"/>
    <col min="5" max="5" width="16" customWidth="1"/>
    <col min="6" max="6" width="11" customWidth="1"/>
    <col min="7" max="8" width="14" customWidth="1"/>
    <col min="9" max="9" width="18" customWidth="1"/>
    <col min="10" max="10" width="12" customWidth="1"/>
    <col min="11" max="11" width="14" customWidth="1"/>
    <col min="12" max="12" width="30" customWidth="1"/>
  </cols>
  <sheetData>
    <row r="1" spans="1:12" ht="15">
      <c r="A1" s="4" t="s">
        <v>16</v>
      </c>
      <c r="B1" s="4" t="s">
        <v>17</v>
      </c>
      <c r="C1" s="4" t="s">
        <v>18</v>
      </c>
      <c r="D1" s="4" t="s">
        <v>19</v>
      </c>
      <c r="E1" s="4" t="s">
        <v>4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 ht="15">
      <c r="A2" s="1" t="s">
        <v>52</v>
      </c>
      <c r="B2" s="1">
        <v>221</v>
      </c>
      <c r="C2" s="2">
        <v>1.5454525051588199</v>
      </c>
      <c r="D2" s="2">
        <v>9.2030846761270393</v>
      </c>
      <c r="E2" s="3">
        <v>5.3597202168266401E-3</v>
      </c>
      <c r="F2" s="1" t="s">
        <v>28</v>
      </c>
      <c r="G2" s="1" t="str">
        <f t="shared" ref="G2:G8" si="0">IF(B2&lt;300,"PASS","FAIL")</f>
        <v>PASS</v>
      </c>
      <c r="H2" s="1" t="str">
        <f t="shared" ref="H2:H8" si="1">IF(ABS(C2)&gt;1,"PASS","FAIL")</f>
        <v>PASS</v>
      </c>
      <c r="I2" s="1" t="str">
        <f t="shared" ref="I2:I8" si="2">IF(D2&gt;4,"PASS","FAIL")</f>
        <v>PASS</v>
      </c>
      <c r="J2" s="1" t="str">
        <f t="shared" ref="J2:J8" si="3">IF(E2&lt;0.05,"PASS","FAIL")</f>
        <v>PASS</v>
      </c>
      <c r="K2" s="1" t="str">
        <f t="shared" ref="K2:K8" si="4">IF(AND(G2="PASS",H2="PASS",I2="PASS",J2="PASS"),"SELECTED","EXCLUDED")</f>
        <v>SELECTED</v>
      </c>
      <c r="L2" s="1" t="str">
        <f t="shared" ref="L2:L8" si="5">IF(K2="SELECTED","Meets all criteria",IF(G2="FAIL","Length ≥300 nt","")&amp;IF(AND(G2="FAIL",H2="FAIL"),"; ","")&amp;IF(H2="FAIL","|log2FC| ≤1","")&amp;IF(AND(OR(G2="FAIL",H2="FAIL"),I2="FAIL"),"; ","")&amp;IF(I2="FAIL","AveExpr ≤4","")&amp;IF(AND(OR(G2="FAIL",H2="FAIL",I2="FAIL"),J2="FAIL"),"; ","")&amp;IF(J2="FAIL","P ≥0.05",""))</f>
        <v>Meets all criteria</v>
      </c>
    </row>
    <row r="3" spans="1:12">
      <c r="A3" s="1" t="s">
        <v>53</v>
      </c>
      <c r="B3" s="1">
        <v>413</v>
      </c>
      <c r="C3" s="2">
        <v>0.78233531636336096</v>
      </c>
      <c r="D3" s="2">
        <v>19.5853445361296</v>
      </c>
      <c r="E3" s="3">
        <v>1.7008928393794202E-2</v>
      </c>
      <c r="F3" s="1" t="s">
        <v>28</v>
      </c>
      <c r="G3" s="1" t="str">
        <f t="shared" si="0"/>
        <v>FAIL</v>
      </c>
      <c r="H3" s="1" t="str">
        <f t="shared" si="1"/>
        <v>FAIL</v>
      </c>
      <c r="I3" s="1" t="str">
        <f t="shared" si="2"/>
        <v>PASS</v>
      </c>
      <c r="J3" s="1" t="str">
        <f t="shared" si="3"/>
        <v>PASS</v>
      </c>
      <c r="K3" s="1" t="str">
        <f t="shared" si="4"/>
        <v>EXCLUDED</v>
      </c>
      <c r="L3" s="1" t="str">
        <f t="shared" si="5"/>
        <v>Length ≥300 nt; |log2FC| ≤1</v>
      </c>
    </row>
    <row r="4" spans="1:12" ht="15">
      <c r="A4" s="1" t="s">
        <v>54</v>
      </c>
      <c r="B4" s="1">
        <v>123</v>
      </c>
      <c r="C4" s="2">
        <v>1.63404068201079</v>
      </c>
      <c r="D4" s="2">
        <v>4.45421967716418</v>
      </c>
      <c r="E4" s="3">
        <v>1.96582776349753E-2</v>
      </c>
      <c r="F4" s="1" t="s">
        <v>28</v>
      </c>
      <c r="G4" s="1" t="str">
        <f t="shared" si="0"/>
        <v>PASS</v>
      </c>
      <c r="H4" s="1" t="str">
        <f t="shared" si="1"/>
        <v>PASS</v>
      </c>
      <c r="I4" s="1" t="str">
        <f t="shared" si="2"/>
        <v>PASS</v>
      </c>
      <c r="J4" s="1" t="str">
        <f t="shared" si="3"/>
        <v>PASS</v>
      </c>
      <c r="K4" s="1" t="str">
        <f t="shared" si="4"/>
        <v>SELECTED</v>
      </c>
      <c r="L4" s="1" t="str">
        <f t="shared" si="5"/>
        <v>Meets all criteria</v>
      </c>
    </row>
    <row r="5" spans="1:12">
      <c r="A5" s="1" t="s">
        <v>55</v>
      </c>
      <c r="B5" s="1">
        <v>388</v>
      </c>
      <c r="C5" s="2">
        <v>-0.79140975968360505</v>
      </c>
      <c r="D5" s="2">
        <v>9.5536577058765708</v>
      </c>
      <c r="E5" s="3">
        <v>2.1694666801501901E-2</v>
      </c>
      <c r="F5" s="1" t="s">
        <v>30</v>
      </c>
      <c r="G5" s="1" t="str">
        <f t="shared" si="0"/>
        <v>FAIL</v>
      </c>
      <c r="H5" s="1" t="str">
        <f t="shared" si="1"/>
        <v>FAIL</v>
      </c>
      <c r="I5" s="1" t="str">
        <f t="shared" si="2"/>
        <v>PASS</v>
      </c>
      <c r="J5" s="1" t="str">
        <f t="shared" si="3"/>
        <v>PASS</v>
      </c>
      <c r="K5" s="1" t="str">
        <f t="shared" si="4"/>
        <v>EXCLUDED</v>
      </c>
      <c r="L5" s="1" t="str">
        <f t="shared" si="5"/>
        <v>Length ≥300 nt; |log2FC| ≤1</v>
      </c>
    </row>
    <row r="6" spans="1:12">
      <c r="A6" s="1" t="s">
        <v>56</v>
      </c>
      <c r="B6" s="1">
        <v>311</v>
      </c>
      <c r="C6" s="2">
        <v>1.6426607193603</v>
      </c>
      <c r="D6" s="2">
        <v>3.3917336243228302</v>
      </c>
      <c r="E6" s="3">
        <v>2.8064164884816899E-2</v>
      </c>
      <c r="F6" s="1" t="s">
        <v>28</v>
      </c>
      <c r="G6" s="1" t="str">
        <f t="shared" si="0"/>
        <v>FAIL</v>
      </c>
      <c r="H6" s="1" t="str">
        <f t="shared" si="1"/>
        <v>PASS</v>
      </c>
      <c r="I6" s="1" t="str">
        <f t="shared" si="2"/>
        <v>FAIL</v>
      </c>
      <c r="J6" s="1" t="str">
        <f t="shared" si="3"/>
        <v>PASS</v>
      </c>
      <c r="K6" s="1" t="str">
        <f t="shared" si="4"/>
        <v>EXCLUDED</v>
      </c>
      <c r="L6" s="1" t="str">
        <f t="shared" si="5"/>
        <v>Length ≥300 nt; AveExpr ≤4</v>
      </c>
    </row>
    <row r="7" spans="1:12" ht="15">
      <c r="A7" s="1" t="s">
        <v>57</v>
      </c>
      <c r="B7" s="1">
        <v>141</v>
      </c>
      <c r="C7" s="2">
        <v>1.1275704179611801</v>
      </c>
      <c r="D7" s="2">
        <v>4.8131527156901699</v>
      </c>
      <c r="E7" s="3">
        <v>2.8823580224537501E-2</v>
      </c>
      <c r="F7" s="1" t="s">
        <v>28</v>
      </c>
      <c r="G7" s="1" t="str">
        <f t="shared" si="0"/>
        <v>PASS</v>
      </c>
      <c r="H7" s="1" t="str">
        <f t="shared" si="1"/>
        <v>PASS</v>
      </c>
      <c r="I7" s="1" t="str">
        <f t="shared" si="2"/>
        <v>PASS</v>
      </c>
      <c r="J7" s="1" t="str">
        <f t="shared" si="3"/>
        <v>PASS</v>
      </c>
      <c r="K7" s="1" t="str">
        <f t="shared" si="4"/>
        <v>SELECTED</v>
      </c>
      <c r="L7" s="1" t="str">
        <f t="shared" si="5"/>
        <v>Meets all criteria</v>
      </c>
    </row>
    <row r="8" spans="1:12">
      <c r="A8" s="1" t="s">
        <v>58</v>
      </c>
      <c r="B8" s="1">
        <v>178</v>
      </c>
      <c r="C8" s="2">
        <v>-0.69357376522458403</v>
      </c>
      <c r="D8" s="2">
        <v>6.2550797467856096</v>
      </c>
      <c r="E8" s="3">
        <v>3.2595468532514098E-2</v>
      </c>
      <c r="F8" s="1" t="s">
        <v>30</v>
      </c>
      <c r="G8" s="1" t="str">
        <f t="shared" si="0"/>
        <v>PASS</v>
      </c>
      <c r="H8" s="1" t="str">
        <f t="shared" si="1"/>
        <v>FAIL</v>
      </c>
      <c r="I8" s="1" t="str">
        <f t="shared" si="2"/>
        <v>PASS</v>
      </c>
      <c r="J8" s="1" t="str">
        <f t="shared" si="3"/>
        <v>PASS</v>
      </c>
      <c r="K8" s="1" t="str">
        <f t="shared" si="4"/>
        <v>EXCLUDED</v>
      </c>
      <c r="L8" s="1" t="str">
        <f t="shared" si="5"/>
        <v>|log2FC| ≤1</v>
      </c>
    </row>
  </sheetData>
  <conditionalFormatting sqref="K2:K8">
    <cfRule type="expression" dxfId="1" priority="1">
      <formula>K2="SELECTED"</formula>
    </cfRule>
    <cfRule type="expression" dxfId="0" priority="2">
      <formula>K2="EXCLUDED"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Selection_Criteria</vt:lpstr>
      <vt:lpstr>EXP_candidates</vt:lpstr>
      <vt:lpstr>STA_candidates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ilham .</cp:lastModifiedBy>
  <dcterms:created xsi:type="dcterms:W3CDTF">2026-09-28T06:07:30Z</dcterms:created>
  <dcterms:modified xsi:type="dcterms:W3CDTF">2026-09-28T06:07:30Z</dcterms:modified>
</cp:coreProperties>
</file>